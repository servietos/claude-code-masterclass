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als" sheetId="1" state="visible" r:id="rId1"/>
    <sheet xmlns:r="http://schemas.openxmlformats.org/officeDocument/2006/relationships" name="Serv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Bike</t>
        </is>
      </c>
      <c r="B1" t="inlineStr">
        <is>
          <t>Customer</t>
        </is>
      </c>
      <c r="C1" t="inlineStr">
        <is>
          <t>Phone</t>
        </is>
      </c>
      <c r="D1" t="inlineStr">
        <is>
          <t>Out</t>
        </is>
      </c>
      <c r="E1" t="inlineStr">
        <is>
          <t>Due</t>
        </is>
      </c>
      <c r="F1" t="inlineStr">
        <is>
          <t>Returned</t>
        </is>
      </c>
      <c r="G1" t="inlineStr">
        <is>
          <t>Days Late</t>
        </is>
      </c>
      <c r="H1" t="inlineStr">
        <is>
          <t>Late Fee</t>
        </is>
      </c>
      <c r="I1" t="inlineStr">
        <is>
          <t>Deposit</t>
        </is>
      </c>
    </row>
    <row r="2">
      <c r="A2" t="inlineStr">
        <is>
          <t>CITY-01</t>
        </is>
      </c>
      <c r="B2" t="inlineStr">
        <is>
          <t>Ana Berger</t>
        </is>
      </c>
      <c r="C2" t="inlineStr">
        <is>
          <t>0660111222</t>
        </is>
      </c>
      <c r="D2" t="inlineStr">
        <is>
          <t>2026-10-05</t>
        </is>
      </c>
      <c r="E2" t="inlineStr">
        <is>
          <t>2026-10-08</t>
        </is>
      </c>
      <c r="F2" t="inlineStr">
        <is>
          <t>2026-10-09</t>
        </is>
      </c>
      <c r="G2">
        <f>IF(F2="","",MAX(DATEVALUE(F2)-DATEVALUE(E2),0))</f>
        <v/>
      </c>
      <c r="H2">
        <f>IF(G2="","",MIN(G2*5,50))</f>
        <v/>
      </c>
      <c r="I2" t="n">
        <v>50</v>
      </c>
    </row>
    <row r="3">
      <c r="A3" t="inlineStr">
        <is>
          <t>CITY-02</t>
        </is>
      </c>
      <c r="B3" t="inlineStr">
        <is>
          <t>Ben Roth</t>
        </is>
      </c>
      <c r="C3" t="inlineStr">
        <is>
          <t>0660333444</t>
        </is>
      </c>
      <c r="D3" t="inlineStr">
        <is>
          <t>2026-10-06</t>
        </is>
      </c>
      <c r="E3" t="inlineStr">
        <is>
          <t>2026-10-07</t>
        </is>
      </c>
      <c r="G3">
        <f>IF(F3="","",MAX(DATEVALUE(F3)-DATEVALUE(E3),0))</f>
        <v/>
      </c>
      <c r="H3">
        <f>IF(G3="","",MIN(G3*5,50))</f>
        <v/>
      </c>
      <c r="I3" t="n">
        <v>50</v>
      </c>
    </row>
    <row r="4">
      <c r="A4" t="inlineStr">
        <is>
          <t>TREK-03</t>
        </is>
      </c>
      <c r="B4" t="inlineStr">
        <is>
          <t>Cora Lang</t>
        </is>
      </c>
      <c r="C4" t="inlineStr">
        <is>
          <t>0660555666</t>
        </is>
      </c>
      <c r="D4" t="inlineStr">
        <is>
          <t>2026-10-07</t>
        </is>
      </c>
      <c r="E4" t="inlineStr">
        <is>
          <t>2026-10-14</t>
        </is>
      </c>
      <c r="G4">
        <f>IF(F4="","",MAX(DATEVALUE(F4)-DATEVALUE(E4),0))</f>
        <v/>
      </c>
      <c r="H4">
        <f>IF(G4="","",MIN(G4*5,50))</f>
        <v/>
      </c>
      <c r="I4" t="n">
        <v>100</v>
      </c>
    </row>
    <row r="5">
      <c r="A5" t="inlineStr">
        <is>
          <t>CITY-04</t>
        </is>
      </c>
      <c r="B5" t="inlineStr">
        <is>
          <t>Dan Wolf</t>
        </is>
      </c>
      <c r="C5" t="inlineStr">
        <is>
          <t>0660777888</t>
        </is>
      </c>
      <c r="D5" t="inlineStr">
        <is>
          <t>2026-10-08</t>
        </is>
      </c>
      <c r="E5" t="inlineStr">
        <is>
          <t>2026-10-10</t>
        </is>
      </c>
      <c r="F5" t="inlineStr">
        <is>
          <t>2026-10-10</t>
        </is>
      </c>
      <c r="G5">
        <f>IF(F5="","",MAX(DATEVALUE(F5)-DATEVALUE(E5),0))</f>
        <v/>
      </c>
      <c r="H5">
        <f>IF(G5="","",MIN(G5*5,50))</f>
        <v/>
      </c>
      <c r="I5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Bike</t>
        </is>
      </c>
      <c r="B1" t="inlineStr">
        <is>
          <t>Last Service</t>
        </is>
      </c>
      <c r="C1" t="inlineStr">
        <is>
          <t>Next Service</t>
        </is>
      </c>
      <c r="D1" t="inlineStr">
        <is>
          <t>Overdue</t>
        </is>
      </c>
    </row>
    <row r="2">
      <c r="A2" t="inlineStr">
        <is>
          <t>CITY-01</t>
        </is>
      </c>
      <c r="B2" t="inlineStr">
        <is>
          <t>2026-07-02</t>
        </is>
      </c>
      <c r="C2">
        <f>DATEVALUE(B2)+90</f>
        <v/>
      </c>
      <c r="D2">
        <f>IF(C2&lt;TODAY(),"yes","no")</f>
        <v/>
      </c>
    </row>
    <row r="3">
      <c r="A3" t="inlineStr">
        <is>
          <t>CITY-02</t>
        </is>
      </c>
      <c r="B3" t="inlineStr">
        <is>
          <t>2026-09-15</t>
        </is>
      </c>
      <c r="C3">
        <f>DATEVALUE(B3)+90</f>
        <v/>
      </c>
      <c r="D3">
        <f>IF(C3&lt;TODAY(),"yes","no")</f>
        <v/>
      </c>
    </row>
    <row r="4">
      <c r="A4" t="inlineStr">
        <is>
          <t>TREK-03</t>
        </is>
      </c>
      <c r="B4" t="inlineStr">
        <is>
          <t>2026-06-20</t>
        </is>
      </c>
      <c r="C4">
        <f>DATEVALUE(B4)+90</f>
        <v/>
      </c>
      <c r="D4">
        <f>IF(C4&lt;TODAY(),"yes","no")</f>
        <v/>
      </c>
    </row>
    <row r="5">
      <c r="A5" t="inlineStr">
        <is>
          <t>CITY-04</t>
        </is>
      </c>
      <c r="B5" t="inlineStr">
        <is>
          <t>2026-08-30</t>
        </is>
      </c>
      <c r="C5">
        <f>DATEVALUE(B5)+90</f>
        <v/>
      </c>
      <c r="D5">
        <f>IF(C5&lt;TODAY(),"yes","no")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2026-10-17T17:32:19Z</dcterms:created>
  <dcterms:modified xmlns:dcterms="http://purl.org/dc/terms/" xmlns:xsi="http://www.w3.org/2001/XMLSchema-instance" xsi:type="dcterms:W3CDTF">2026-10-17T17:32:19Z</dcterms:modified>
</cp:coreProperties>
</file>